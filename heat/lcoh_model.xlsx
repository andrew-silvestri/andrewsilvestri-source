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ensitivit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2" min="1" max="1"/>
    <col width="12" customWidth="1" style="12" min="2" max="2"/>
    <col width="18" customWidth="1" style="12" min="3" max="3"/>
    <col width="58" customWidth="1" style="12" min="4" max="4"/>
  </cols>
  <sheetData>
    <row r="1" ht="16.15" customHeight="1" s="13">
      <c r="A1" s="14" t="inlineStr">
        <is>
          <t>LCOH Model — Inputs (edit yellow cells only)</t>
        </is>
      </c>
    </row>
    <row r="3" ht="15" customHeight="1" s="13">
      <c r="A3" s="15" t="inlineStr">
        <is>
          <t>Parameter</t>
        </is>
      </c>
      <c r="B3" s="15" t="inlineStr">
        <is>
          <t>Value</t>
        </is>
      </c>
      <c r="C3" s="15" t="inlineStr">
        <is>
          <t>Unit</t>
        </is>
      </c>
      <c r="D3" s="15" t="inlineStr">
        <is>
          <t>Source / note</t>
        </is>
      </c>
    </row>
    <row r="4" ht="15" customHeight="1" s="13">
      <c r="A4" s="16" t="inlineStr">
        <is>
          <t>Electric boiler efficiency</t>
        </is>
      </c>
      <c r="B4" s="17" t="n">
        <v>0.98</v>
      </c>
      <c r="C4" s="16" t="inlineStr">
        <is>
          <t>-</t>
        </is>
      </c>
      <c r="D4" s="16" t="inlineStr">
        <is>
          <t>LBNL/DOE tipsheet range 0.95-0.99</t>
        </is>
      </c>
    </row>
    <row r="5" ht="15" customHeight="1" s="13">
      <c r="A5" s="16" t="inlineStr">
        <is>
          <t>Gas boiler efficiency</t>
        </is>
      </c>
      <c r="B5" s="17" t="n">
        <v>0.85</v>
      </c>
      <c r="C5" s="16" t="inlineStr">
        <is>
          <t>-</t>
        </is>
      </c>
      <c r="D5" s="16" t="inlineStr">
        <is>
          <t>Conventional non-condensing, 0.80-0.90</t>
        </is>
      </c>
    </row>
    <row r="6" ht="15" customHeight="1" s="13">
      <c r="A6" s="16" t="inlineStr">
        <is>
          <t>Electricity price</t>
        </is>
      </c>
      <c r="B6" s="17" t="n">
        <v>0.065</v>
      </c>
      <c r="C6" s="16" t="inlineStr">
        <is>
          <t>$/kWh</t>
        </is>
      </c>
      <c r="D6" s="16" t="inlineStr">
        <is>
          <t>PLACEHOLDER - update from EIA EPM Table 5.6.A (TX industrial)</t>
        </is>
      </c>
    </row>
    <row r="7" ht="15" customHeight="1" s="13">
      <c r="A7" s="16" t="inlineStr">
        <is>
          <t>Natural gas price</t>
        </is>
      </c>
      <c r="B7" s="17" t="n">
        <v>3.5</v>
      </c>
      <c r="C7" s="16" t="inlineStr">
        <is>
          <t>$/MMBtu</t>
        </is>
      </c>
      <c r="D7" s="16" t="inlineStr">
        <is>
          <t>PLACEHOLDER - update from EIA TX industrial NG series</t>
        </is>
      </c>
    </row>
    <row r="8" ht="15" customHeight="1" s="13">
      <c r="A8" s="16" t="inlineStr">
        <is>
          <t>Gas boiler capex (installed)</t>
        </is>
      </c>
      <c r="B8" s="17" t="n">
        <v>50000</v>
      </c>
      <c r="C8" s="16" t="inlineStr">
        <is>
          <t>$ per MMBtu/hr</t>
        </is>
      </c>
      <c r="D8" s="16" t="inlineStr">
        <is>
          <t>Scaled from NREL EFS example; +-50% sensitivity</t>
        </is>
      </c>
    </row>
    <row r="9" ht="15" customHeight="1" s="13">
      <c r="A9" s="16" t="inlineStr">
        <is>
          <t>Electric boiler capex (installed)</t>
        </is>
      </c>
      <c r="B9" s="17" t="n">
        <v>30000</v>
      </c>
      <c r="C9" s="16" t="inlineStr">
        <is>
          <t>$ per MMBtu/hr</t>
        </is>
      </c>
      <c r="D9" s="16" t="inlineStr">
        <is>
          <t>NREL EFS: electric ~40% below gas; +-50%</t>
        </is>
      </c>
    </row>
    <row r="10" ht="15" customHeight="1" s="13">
      <c r="A10" s="16" t="inlineStr">
        <is>
          <t>Fixed O&amp;M, electric</t>
        </is>
      </c>
      <c r="B10" s="17" t="n">
        <v>0.01</v>
      </c>
      <c r="C10" s="16" t="inlineStr">
        <is>
          <t>fraction capex/yr</t>
        </is>
      </c>
      <c r="D10" s="16" t="inlineStr">
        <is>
          <t>Common assumption ~1%/yr</t>
        </is>
      </c>
    </row>
    <row r="11" ht="15" customHeight="1" s="13">
      <c r="A11" s="16" t="inlineStr">
        <is>
          <t>Fixed O&amp;M, gas</t>
        </is>
      </c>
      <c r="B11" s="17" t="n">
        <v>0.02</v>
      </c>
      <c r="C11" s="16" t="inlineStr">
        <is>
          <t>fraction capex/yr</t>
        </is>
      </c>
      <c r="D11" s="16" t="inlineStr">
        <is>
          <t>Burner/tube maintenance heavier than electric</t>
        </is>
      </c>
    </row>
    <row r="12" ht="15" customHeight="1" s="13">
      <c r="A12" s="16" t="inlineStr">
        <is>
          <t>Real discount rate</t>
        </is>
      </c>
      <c r="B12" s="17" t="n">
        <v>0.08</v>
      </c>
      <c r="C12" s="16" t="inlineStr">
        <is>
          <t>-</t>
        </is>
      </c>
      <c r="D12" s="16" t="inlineStr">
        <is>
          <t>Doc baseline 8% (range 5-12%)</t>
        </is>
      </c>
    </row>
    <row r="13" ht="15" customHeight="1" s="13">
      <c r="A13" s="16" t="inlineStr">
        <is>
          <t>Lifetime</t>
        </is>
      </c>
      <c r="B13" s="17" t="n">
        <v>20</v>
      </c>
      <c r="C13" s="16" t="inlineStr">
        <is>
          <t>years</t>
        </is>
      </c>
      <c r="D13" s="16" t="inlineStr">
        <is>
          <t>Zuberi et al. 20 yr private perspective</t>
        </is>
      </c>
    </row>
    <row r="14" ht="15" customHeight="1" s="13">
      <c r="A14" s="16" t="inlineStr">
        <is>
          <t>Operating hours</t>
        </is>
      </c>
      <c r="B14" s="17" t="n">
        <v>6000</v>
      </c>
      <c r="C14" s="16" t="inlineStr">
        <is>
          <t>hr/yr</t>
        </is>
      </c>
      <c r="D14" s="16" t="inlineStr">
        <is>
          <t>LBNL tipsheet 6000; DOE avg CF 47% ~ 4100</t>
        </is>
      </c>
    </row>
    <row r="15" ht="15" customHeight="1" s="13">
      <c r="A15" s="16" t="inlineStr">
        <is>
          <t>Gas CO2 factor</t>
        </is>
      </c>
      <c r="B15" s="17" t="n">
        <v>53.06</v>
      </c>
      <c r="C15" s="16" t="inlineStr">
        <is>
          <t>kgCO2/MMBtu fuel</t>
        </is>
      </c>
      <c r="D15" s="16" t="inlineStr">
        <is>
          <t>EPA GHG Emission Factors Hub</t>
        </is>
      </c>
    </row>
    <row r="16" ht="15" customHeight="1" s="13">
      <c r="A16" s="16" t="inlineStr">
        <is>
          <t>Grid carbon intensity</t>
        </is>
      </c>
      <c r="B16" s="17" t="n">
        <v>0.333</v>
      </c>
      <c r="C16" s="16" t="inlineStr">
        <is>
          <t>tCO2/MWh</t>
        </is>
      </c>
      <c r="D16" s="16" t="inlineStr">
        <is>
          <t>eGRID ERCOT average - update annually</t>
        </is>
      </c>
    </row>
    <row r="17" ht="15" customHeight="1" s="13">
      <c r="A17" s="16" t="inlineStr">
        <is>
          <t>kWh per MMBtu</t>
        </is>
      </c>
      <c r="B17" s="17" t="n">
        <v>293.07</v>
      </c>
      <c r="C17" s="16" t="inlineStr">
        <is>
          <t>kWh/MMBtu</t>
        </is>
      </c>
      <c r="D17" s="16" t="inlineStr">
        <is>
          <t>NREL EFS standard conversion</t>
        </is>
      </c>
    </row>
    <row r="20" ht="15" customHeight="1" s="13">
      <c r="A20" s="18" t="inlineStr">
        <is>
          <t>Legend: yellow = editable input. All other sheets are formulas.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2" min="1" max="1"/>
    <col width="14" customWidth="1" style="12" min="2" max="3"/>
  </cols>
  <sheetData>
    <row r="1" ht="16.15" customHeight="1" s="13">
      <c r="A1" s="14" t="inlineStr">
        <is>
          <t>LCOH per MMBtu delivered — all cells are formulas</t>
        </is>
      </c>
    </row>
    <row r="3" ht="15" customHeight="1" s="13">
      <c r="A3" s="19" t="inlineStr">
        <is>
          <t>Line item ($/MMBtu)</t>
        </is>
      </c>
      <c r="B3" s="19" t="inlineStr">
        <is>
          <t>Gas boiler</t>
        </is>
      </c>
      <c r="C3" s="19" t="inlineStr">
        <is>
          <t>Electric boiler</t>
        </is>
      </c>
    </row>
    <row r="4" ht="15" customHeight="1" s="13">
      <c r="A4" s="16" t="inlineStr">
        <is>
          <t>Fuel / energy</t>
        </is>
      </c>
      <c r="B4" s="20">
        <f>Inputs!$B$7/Inputs!$B$5</f>
        <v/>
      </c>
      <c r="C4" s="20">
        <f>Inputs!$B$17*Inputs!$B$6/Inputs!$B$4</f>
        <v/>
      </c>
    </row>
    <row r="5" ht="15" customHeight="1" s="13">
      <c r="A5" s="16" t="inlineStr">
        <is>
          <t>Levelized capex</t>
        </is>
      </c>
      <c r="B5" s="20">
        <f>Inputs!$B$8*(Inputs!$B$12*(1+Inputs!$B$12)^Inputs!$B$13/((1+Inputs!$B$12)^Inputs!$B$13-1))/Inputs!$B$14</f>
        <v/>
      </c>
      <c r="C5" s="20">
        <f>Inputs!$B$9*(Inputs!$B$12*(1+Inputs!$B$12)^Inputs!$B$13/((1+Inputs!$B$12)^Inputs!$B$13-1))/Inputs!$B$14</f>
        <v/>
      </c>
    </row>
    <row r="6" ht="15" customHeight="1" s="13">
      <c r="A6" s="16" t="inlineStr">
        <is>
          <t>Fixed O&amp;M</t>
        </is>
      </c>
      <c r="B6" s="20">
        <f>Inputs!$B$8*Inputs!$B$11/Inputs!$B$14</f>
        <v/>
      </c>
      <c r="C6" s="20">
        <f>Inputs!$B$9*Inputs!$B$10/Inputs!$B$14</f>
        <v/>
      </c>
    </row>
    <row r="7" ht="15" customHeight="1" s="13">
      <c r="A7" s="21" t="inlineStr">
        <is>
          <t>LCOH total</t>
        </is>
      </c>
      <c r="B7" s="22">
        <f>SUM(B4:B6)</f>
        <v/>
      </c>
      <c r="C7" s="22">
        <f>SUM(C4:C6)</f>
        <v/>
      </c>
    </row>
    <row r="8" ht="15" customHeight="1" s="13">
      <c r="A8" s="16" t="n"/>
      <c r="B8" s="16" t="n"/>
      <c r="C8" s="16" t="n"/>
    </row>
    <row r="9" ht="15" customHeight="1" s="13">
      <c r="A9" s="16" t="inlineStr">
        <is>
          <t>Cost gap (elec - gas)</t>
        </is>
      </c>
      <c r="B9" s="20">
        <f>C7-B7</f>
        <v/>
      </c>
      <c r="C9" s="16" t="n"/>
    </row>
    <row r="10" ht="15" customHeight="1" s="13">
      <c r="A10" s="16" t="n"/>
      <c r="B10" s="16" t="n"/>
      <c r="C10" s="16" t="n"/>
    </row>
    <row r="11" ht="15" customHeight="1" s="13">
      <c r="A11" s="16" t="inlineStr">
        <is>
          <t>Break-even electricity price, full LCOH ($/kWh)</t>
        </is>
      </c>
      <c r="B11" s="23">
        <f>(B7-C5-C6)*Inputs!$B$4/Inputs!$B$17</f>
        <v/>
      </c>
      <c r="C11" s="16" t="n"/>
    </row>
    <row r="12" ht="15" customHeight="1" s="13">
      <c r="A12" s="16" t="inlineStr">
        <is>
          <t>Break-even electricity price, fuel-only ($/kWh)</t>
        </is>
      </c>
      <c r="B12" s="23">
        <f>Inputs!$B$4*Inputs!$B$7/(Inputs!$B$17*Inputs!$B$5)</f>
        <v/>
      </c>
      <c r="C12" s="16" t="n"/>
    </row>
    <row r="13" ht="15" customHeight="1" s="13">
      <c r="A13" s="16" t="inlineStr">
        <is>
          <t>Spark ratio threshold, energy basis (= eta_e/eta_g)</t>
        </is>
      </c>
      <c r="B13" s="16">
        <f>B12*Inputs!$B$17/Inputs!$B$7</f>
        <v/>
      </c>
      <c r="C13" s="16" t="n"/>
    </row>
    <row r="14" ht="15" customHeight="1" s="13">
      <c r="A14" s="16" t="n"/>
      <c r="B14" s="16" t="n"/>
      <c r="C14" s="16" t="n"/>
    </row>
    <row r="15" ht="15" customHeight="1" s="13">
      <c r="A15" s="21" t="inlineStr">
        <is>
          <t>Emissions (kgCO2 / MMBtu delivered)</t>
        </is>
      </c>
      <c r="B15" s="16" t="n"/>
      <c r="C15" s="16" t="n"/>
    </row>
    <row r="16" ht="15" customHeight="1" s="13">
      <c r="A16" s="16" t="inlineStr">
        <is>
          <t>Gas boiler</t>
        </is>
      </c>
      <c r="B16" s="20">
        <f>Inputs!$B$15/Inputs!$B$5</f>
        <v/>
      </c>
      <c r="C16" s="16" t="n"/>
    </row>
    <row r="17" ht="15" customHeight="1" s="13">
      <c r="A17" s="16" t="inlineStr">
        <is>
          <t>Electric boiler (avg grid CI)</t>
        </is>
      </c>
      <c r="B17" s="20">
        <f>Inputs!$B$16*Inputs!$B$17/Inputs!$B$4</f>
        <v/>
      </c>
      <c r="C17" s="16" t="n"/>
    </row>
    <row r="18" ht="15" customHeight="1" s="13">
      <c r="A18" s="16" t="inlineStr">
        <is>
          <t>Grid CI parity point (tCO2/MWh)</t>
        </is>
      </c>
      <c r="B18" s="23">
        <f>B16*Inputs!$B$4/Inputs!$B$17</f>
        <v/>
      </c>
      <c r="C18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2" min="1" max="1"/>
  </cols>
  <sheetData>
    <row r="1" ht="16.15" customHeight="1" s="13">
      <c r="A1" s="14" t="inlineStr">
        <is>
          <t>Break-even electricity price (cents/kWh, full LCOH) vs gas price and operating hours</t>
        </is>
      </c>
    </row>
    <row r="2" ht="15" customHeight="1" s="13">
      <c r="A2" s="18" t="inlineStr">
        <is>
          <t>Grid of formulas — recalculates from Inputs. Rows: gas price $/MMBtu; Cols: hours/yr.</t>
        </is>
      </c>
    </row>
    <row r="4" ht="15" customHeight="1" s="13">
      <c r="A4" s="21" t="inlineStr">
        <is>
          <t>Pg \ hours</t>
        </is>
      </c>
      <c r="B4" s="17" t="n">
        <v>4000</v>
      </c>
      <c r="C4" s="17" t="n">
        <v>5000</v>
      </c>
      <c r="D4" s="17" t="n">
        <v>6000</v>
      </c>
      <c r="E4" s="17" t="n">
        <v>7000</v>
      </c>
      <c r="F4" s="17" t="n">
        <v>8000</v>
      </c>
    </row>
    <row r="5" ht="15" customHeight="1" s="13">
      <c r="A5" s="17" t="n">
        <v>2</v>
      </c>
      <c r="B5" s="24">
        <f>100*(($A5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5" s="24">
        <f>100*(($A5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5" s="24">
        <f>100*(($A5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5" s="24">
        <f>100*(($A5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5" s="24">
        <f>100*(($A5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6" ht="15" customHeight="1" s="13">
      <c r="A6" s="17" t="n">
        <v>3</v>
      </c>
      <c r="B6" s="24">
        <f>100*(($A6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6" s="24">
        <f>100*(($A6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6" s="24">
        <f>100*(($A6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6" s="24">
        <f>100*(($A6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6" s="24">
        <f>100*(($A6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7" ht="15" customHeight="1" s="13">
      <c r="A7" s="17" t="n">
        <v>3.5</v>
      </c>
      <c r="B7" s="24">
        <f>100*(($A7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7" s="24">
        <f>100*(($A7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7" s="24">
        <f>100*(($A7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7" s="24">
        <f>100*(($A7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7" s="24">
        <f>100*(($A7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8" ht="15" customHeight="1" s="13">
      <c r="A8" s="17" t="n">
        <v>4</v>
      </c>
      <c r="B8" s="24">
        <f>100*(($A8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8" s="24">
        <f>100*(($A8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8" s="24">
        <f>100*(($A8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8" s="24">
        <f>100*(($A8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8" s="24">
        <f>100*(($A8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9" ht="15" customHeight="1" s="13">
      <c r="A9" s="17" t="n">
        <v>5</v>
      </c>
      <c r="B9" s="24">
        <f>100*(($A9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9" s="24">
        <f>100*(($A9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9" s="24">
        <f>100*(($A9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9" s="24">
        <f>100*(($A9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9" s="24">
        <f>100*(($A9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10" ht="15" customHeight="1" s="13">
      <c r="A10" s="17" t="n">
        <v>6</v>
      </c>
      <c r="B10" s="24">
        <f>100*(($A10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10" s="24">
        <f>100*(($A10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10" s="24">
        <f>100*(($A10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10" s="24">
        <f>100*(($A10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10" s="24">
        <f>100*(($A10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11" ht="15" customHeight="1" s="13">
      <c r="A11" s="17" t="n">
        <v>7</v>
      </c>
      <c r="B11" s="24">
        <f>100*(($A11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11" s="24">
        <f>100*(($A11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11" s="24">
        <f>100*(($A11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11" s="24">
        <f>100*(($A11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11" s="24">
        <f>100*(($A11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12" ht="15" customHeight="1" s="13">
      <c r="A12" s="17" t="n">
        <v>8</v>
      </c>
      <c r="B12" s="24">
        <f>100*(($A12/Inputs!$B$5+Inputs!$B$8*(Inputs!$B$12*(1+Inputs!$B$12)^Inputs!$B$13/((1+Inputs!$B$12)^Inputs!$B$13-1))/B$4+Inputs!$B$8*Inputs!$B$11/B$4)-(Inputs!$B$9*(Inputs!$B$12*(1+Inputs!$B$12)^Inputs!$B$13/((1+Inputs!$B$12)^Inputs!$B$13-1))/B$4+Inputs!$B$9*Inputs!$B$10/B$4))*Inputs!$B$4/Inputs!$B$17</f>
        <v/>
      </c>
      <c r="C12" s="24">
        <f>100*(($A12/Inputs!$B$5+Inputs!$B$8*(Inputs!$B$12*(1+Inputs!$B$12)^Inputs!$B$13/((1+Inputs!$B$12)^Inputs!$B$13-1))/C$4+Inputs!$B$8*Inputs!$B$11/C$4)-(Inputs!$B$9*(Inputs!$B$12*(1+Inputs!$B$12)^Inputs!$B$13/((1+Inputs!$B$12)^Inputs!$B$13-1))/C$4+Inputs!$B$9*Inputs!$B$10/C$4))*Inputs!$B$4/Inputs!$B$17</f>
        <v/>
      </c>
      <c r="D12" s="24">
        <f>100*(($A12/Inputs!$B$5+Inputs!$B$8*(Inputs!$B$12*(1+Inputs!$B$12)^Inputs!$B$13/((1+Inputs!$B$12)^Inputs!$B$13-1))/D$4+Inputs!$B$8*Inputs!$B$11/D$4)-(Inputs!$B$9*(Inputs!$B$12*(1+Inputs!$B$12)^Inputs!$B$13/((1+Inputs!$B$12)^Inputs!$B$13-1))/D$4+Inputs!$B$9*Inputs!$B$10/D$4))*Inputs!$B$4/Inputs!$B$17</f>
        <v/>
      </c>
      <c r="E12" s="24">
        <f>100*(($A12/Inputs!$B$5+Inputs!$B$8*(Inputs!$B$12*(1+Inputs!$B$12)^Inputs!$B$13/((1+Inputs!$B$12)^Inputs!$B$13-1))/E$4+Inputs!$B$8*Inputs!$B$11/E$4)-(Inputs!$B$9*(Inputs!$B$12*(1+Inputs!$B$12)^Inputs!$B$13/((1+Inputs!$B$12)^Inputs!$B$13-1))/E$4+Inputs!$B$9*Inputs!$B$10/E$4))*Inputs!$B$4/Inputs!$B$17</f>
        <v/>
      </c>
      <c r="F12" s="24">
        <f>100*(($A12/Inputs!$B$5+Inputs!$B$8*(Inputs!$B$12*(1+Inputs!$B$12)^Inputs!$B$13/((1+Inputs!$B$12)^Inputs!$B$13-1))/F$4+Inputs!$B$8*Inputs!$B$11/F$4)-(Inputs!$B$9*(Inputs!$B$12*(1+Inputs!$B$12)^Inputs!$B$13/((1+Inputs!$B$12)^Inputs!$B$13-1))/F$4+Inputs!$B$9*Inputs!$B$10/F$4))*Inputs!$B$4/Inputs!$B$17</f>
        <v/>
      </c>
    </row>
    <row r="15" ht="15" customHeight="1" s="13">
      <c r="A15" s="18" t="inlineStr">
        <is>
          <t>Read: if TX industrial retail electricity (Inputs!B6) is above the cell value, gas wins on cost.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2026-07-28T06:09:00Z</dcterms:created>
  <dcterms:modified xmlns:dcterms="http://purl.org/dc/terms/" xmlns:xsi="http://www.w3.org/2001/XMLSchema-instance" xsi:type="dcterms:W3CDTF">2026-10-21T20:12:35Z</dcterms:modified>
  <cp:revision>0</cp:revision>
</cp:coreProperties>
</file>